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информатика\"/>
    </mc:Choice>
  </mc:AlternateContent>
  <xr:revisionPtr revIDLastSave="0" documentId="13_ncr:1_{F47E451E-FF59-45EF-85E0-AA8982992224}" xr6:coauthVersionLast="47" xr6:coauthVersionMax="47" xr10:uidLastSave="{00000000-0000-0000-0000-000000000000}"/>
  <bookViews>
    <workbookView xWindow="-120" yWindow="-120" windowWidth="29040" windowHeight="15840" activeTab="3" xr2:uid="{EF66F899-6D69-4338-85E3-8006000B88E2}"/>
  </bookViews>
  <sheets>
    <sheet name="Лист1" sheetId="1" r:id="rId1"/>
    <sheet name="Лист2" sheetId="2" r:id="rId2"/>
    <sheet name="Лист3" sheetId="3" r:id="rId3"/>
    <sheet name="Лист4" sheetId="4" r:id="rId4"/>
  </sheets>
  <definedNames>
    <definedName name="_xlnm._FilterDatabase" localSheetId="0" hidden="1">Лист1!$H$10:$H$14</definedName>
    <definedName name="_xlnm._FilterDatabase" localSheetId="1" hidden="1">Лист2!$B$8:$G$11</definedName>
    <definedName name="_xlnm._FilterDatabase" localSheetId="2" hidden="1">Лист3!$B$10:$C$15</definedName>
    <definedName name="_xlnm._FilterDatabase" localSheetId="3" hidden="1">Лист4!$A$15:$B$26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4" l="1"/>
  <c r="F4" i="4"/>
  <c r="F5" i="4"/>
  <c r="F6" i="4"/>
  <c r="F7" i="4"/>
  <c r="F8" i="4"/>
  <c r="F9" i="4"/>
  <c r="F10" i="4"/>
  <c r="F11" i="4"/>
  <c r="F12" i="4"/>
  <c r="F2" i="4"/>
  <c r="E3" i="4"/>
  <c r="E4" i="4"/>
  <c r="E5" i="4"/>
  <c r="E6" i="4"/>
  <c r="E7" i="4"/>
  <c r="E8" i="4"/>
  <c r="E9" i="4"/>
  <c r="E10" i="4"/>
  <c r="E11" i="4"/>
  <c r="E12" i="4"/>
  <c r="E2" i="4"/>
  <c r="D3" i="4"/>
  <c r="D4" i="4"/>
  <c r="D5" i="4"/>
  <c r="D6" i="4"/>
  <c r="D7" i="4"/>
  <c r="D8" i="4"/>
  <c r="D9" i="4"/>
  <c r="D10" i="4"/>
  <c r="D11" i="4"/>
  <c r="D12" i="4"/>
  <c r="D2" i="4"/>
  <c r="C19" i="3"/>
  <c r="C20" i="3"/>
  <c r="C21" i="3"/>
  <c r="C22" i="3"/>
  <c r="C18" i="3"/>
  <c r="D7" i="3"/>
  <c r="E7" i="3"/>
  <c r="F7" i="3"/>
  <c r="G7" i="3"/>
  <c r="C7" i="3"/>
  <c r="G3" i="3"/>
  <c r="G4" i="3"/>
  <c r="G5" i="3"/>
  <c r="G6" i="3"/>
  <c r="G2" i="3"/>
  <c r="F3" i="3"/>
  <c r="F4" i="3"/>
  <c r="F5" i="3"/>
  <c r="F6" i="3"/>
  <c r="F2" i="3"/>
  <c r="E3" i="3"/>
  <c r="E4" i="3"/>
  <c r="E5" i="3"/>
  <c r="E6" i="3"/>
  <c r="E2" i="3"/>
  <c r="C16" i="2"/>
  <c r="C17" i="2"/>
  <c r="C18" i="2"/>
  <c r="C15" i="2"/>
  <c r="F11" i="2"/>
  <c r="G11" i="2" s="1"/>
  <c r="F10" i="2"/>
  <c r="G10" i="2" s="1"/>
  <c r="F9" i="2"/>
  <c r="G9" i="2" s="1"/>
  <c r="F8" i="2"/>
  <c r="G8" i="2" s="1"/>
  <c r="D6" i="2"/>
  <c r="E6" i="2"/>
  <c r="C6" i="2"/>
  <c r="F3" i="2"/>
  <c r="G3" i="2" s="1"/>
  <c r="F4" i="2"/>
  <c r="F5" i="2"/>
  <c r="G5" i="2" s="1"/>
  <c r="F2" i="2"/>
  <c r="G2" i="2" s="1"/>
  <c r="C19" i="1"/>
  <c r="C20" i="1"/>
  <c r="C21" i="1"/>
  <c r="C22" i="1"/>
  <c r="C18" i="1"/>
  <c r="B19" i="1"/>
  <c r="B20" i="1"/>
  <c r="B21" i="1"/>
  <c r="B22" i="1"/>
  <c r="B18" i="1"/>
  <c r="C14" i="1"/>
  <c r="E13" i="1"/>
  <c r="E12" i="1"/>
  <c r="F12" i="1" s="1"/>
  <c r="G12" i="1" s="1"/>
  <c r="H12" i="1" s="1"/>
  <c r="E11" i="1"/>
  <c r="F11" i="1" s="1"/>
  <c r="E10" i="1"/>
  <c r="D14" i="1"/>
  <c r="D7" i="1"/>
  <c r="C7" i="1"/>
  <c r="E3" i="1"/>
  <c r="E4" i="1"/>
  <c r="F4" i="1" s="1"/>
  <c r="E5" i="1"/>
  <c r="E6" i="1"/>
  <c r="E2" i="1"/>
  <c r="F2" i="1" s="1"/>
  <c r="G2" i="1" s="1"/>
  <c r="H2" i="1" s="1"/>
  <c r="F6" i="2" l="1"/>
  <c r="G4" i="2"/>
  <c r="G6" i="2" s="1"/>
  <c r="E14" i="1"/>
  <c r="F10" i="1"/>
  <c r="G10" i="1" s="1"/>
  <c r="H10" i="1" s="1"/>
  <c r="G11" i="1"/>
  <c r="H11" i="1" s="1"/>
  <c r="F13" i="1"/>
  <c r="G13" i="1" s="1"/>
  <c r="H13" i="1" s="1"/>
  <c r="E7" i="1"/>
  <c r="F3" i="1"/>
  <c r="G3" i="1" s="1"/>
  <c r="H3" i="1" s="1"/>
  <c r="G4" i="1"/>
  <c r="H4" i="1" s="1"/>
  <c r="F6" i="1"/>
  <c r="G6" i="1" s="1"/>
  <c r="H6" i="1" s="1"/>
  <c r="F5" i="1"/>
  <c r="G5" i="1" s="1"/>
  <c r="H5" i="1" s="1"/>
  <c r="F14" i="1" l="1"/>
  <c r="G14" i="1"/>
  <c r="H14" i="1"/>
  <c r="F7" i="1"/>
  <c r="G7" i="1"/>
  <c r="H7" i="1"/>
</calcChain>
</file>

<file path=xl/sharedStrings.xml><?xml version="1.0" encoding="utf-8"?>
<sst xmlns="http://schemas.openxmlformats.org/spreadsheetml/2006/main" count="120" uniqueCount="56">
  <si>
    <t>Номенклат. номер</t>
  </si>
  <si>
    <t>Наименование продукции</t>
  </si>
  <si>
    <t>Количество (шт.)</t>
  </si>
  <si>
    <t>Цена (тыс.руб)</t>
  </si>
  <si>
    <t>Стоимость (тыс.руб.)</t>
  </si>
  <si>
    <t>% скидки</t>
  </si>
  <si>
    <t>Сумма скидки (тыс. руб.)</t>
  </si>
  <si>
    <t>Стоимость с учетом скидки (тыс. руб.)</t>
  </si>
  <si>
    <t>Монитор</t>
  </si>
  <si>
    <t>Клавиатура</t>
  </si>
  <si>
    <t>Дискета</t>
  </si>
  <si>
    <t>Принтер</t>
  </si>
  <si>
    <t>Сканер</t>
  </si>
  <si>
    <t>Итого:</t>
  </si>
  <si>
    <t>№ п/п</t>
  </si>
  <si>
    <t>Модели</t>
  </si>
  <si>
    <t>Цена, $</t>
  </si>
  <si>
    <t>Заказано (шт)</t>
  </si>
  <si>
    <t>Продано (шт)</t>
  </si>
  <si>
    <t>Комиссионные, $</t>
  </si>
  <si>
    <t>Принтер лазерный Ч/Б</t>
  </si>
  <si>
    <t>Принтер лазерный Ц/В</t>
  </si>
  <si>
    <t>Принтер струйный Ч</t>
  </si>
  <si>
    <t>Принтер струйный Ч/Б</t>
  </si>
  <si>
    <t>Итого</t>
  </si>
  <si>
    <t>Объем продаж, $</t>
  </si>
  <si>
    <t>Наименование</t>
  </si>
  <si>
    <t>Кол-во,</t>
  </si>
  <si>
    <t>Цена, руб.</t>
  </si>
  <si>
    <t>Стоимость, руб.</t>
  </si>
  <si>
    <t>Тетради простые в клетку</t>
  </si>
  <si>
    <t>Ручки шариковые с синим стержнем</t>
  </si>
  <si>
    <t>Карандаши простые, НВ</t>
  </si>
  <si>
    <t>Ластики</t>
  </si>
  <si>
    <t>Линейки пластмассовые, 35 см.</t>
  </si>
  <si>
    <t xml:space="preserve"> Cкидка, руб</t>
  </si>
  <si>
    <t>Стоимость с учетом скидки, руб</t>
  </si>
  <si>
    <t>Сумма скидки</t>
  </si>
  <si>
    <t>Страна</t>
  </si>
  <si>
    <t>Площадь, тыс. км2</t>
  </si>
  <si>
    <t>Население, тыс. чел.</t>
  </si>
  <si>
    <t>Плотность населения, чел./км2</t>
  </si>
  <si>
    <t>Место в мире по количеству населения</t>
  </si>
  <si>
    <t>Россия</t>
  </si>
  <si>
    <t>США</t>
  </si>
  <si>
    <t>Канада</t>
  </si>
  <si>
    <t>Франция</t>
  </si>
  <si>
    <t>Китай</t>
  </si>
  <si>
    <t>Япония</t>
  </si>
  <si>
    <t>Индия</t>
  </si>
  <si>
    <t>Израиль</t>
  </si>
  <si>
    <t>Бразилия</t>
  </si>
  <si>
    <t>Египет</t>
  </si>
  <si>
    <t>Нигерия</t>
  </si>
  <si>
    <t>Весь мир</t>
  </si>
  <si>
    <t>В % от населения всего мира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</si>
</sst>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6" formatCode="_-* #,##0_-;\-* #,##0_-;_-* &quot;-&quot;??_-;_-@_-"/>
    <numFmt numFmtId="167" formatCode="_-* #,##0.00\ _₽_-;\-* #,##0.00\ _₽_-;_-* &quot;-&quot;??\ _₽_-;_-@_-"/>
  </numFmts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 vertical="center" textRotation="90" wrapText="1"/>
    </xf>
    <xf numFmtId="43" fontId="0" fillId="0" borderId="0" xfId="1" applyFont="1"/>
    <xf numFmtId="166" fontId="0" fillId="0" borderId="0" xfId="1" applyNumberFormat="1" applyFont="1"/>
    <xf numFmtId="166" fontId="0" fillId="0" borderId="0" xfId="0" applyNumberFormat="1"/>
    <xf numFmtId="43" fontId="0" fillId="0" borderId="0" xfId="0" applyNumberFormat="1"/>
    <xf numFmtId="167" fontId="0" fillId="0" borderId="0" xfId="0" applyNumberFormat="1"/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right" vertical="center" wrapText="1"/>
    </xf>
    <xf numFmtId="0" fontId="3" fillId="0" borderId="0" xfId="0" applyFont="1" applyAlignment="1">
      <alignment vertical="center"/>
    </xf>
    <xf numFmtId="0" fontId="0" fillId="0" borderId="5" xfId="0" applyBorder="1"/>
    <xf numFmtId="0" fontId="0" fillId="0" borderId="6" xfId="0" applyBorder="1"/>
    <xf numFmtId="0" fontId="2" fillId="0" borderId="5" xfId="0" applyFont="1" applyBorder="1" applyAlignment="1">
      <alignment horizontal="center" vertical="center" textRotation="90"/>
    </xf>
    <xf numFmtId="0" fontId="2" fillId="0" borderId="5" xfId="0" applyFont="1" applyBorder="1" applyAlignment="1">
      <alignment horizontal="center" vertical="center" textRotation="90" wrapText="1"/>
    </xf>
    <xf numFmtId="0" fontId="0" fillId="0" borderId="5" xfId="0" applyBorder="1" applyAlignment="1">
      <alignment horizontal="center" vertical="center"/>
    </xf>
    <xf numFmtId="166" fontId="0" fillId="0" borderId="5" xfId="1" applyNumberFormat="1" applyFont="1" applyBorder="1" applyAlignment="1">
      <alignment horizontal="center" vertical="center"/>
    </xf>
    <xf numFmtId="166" fontId="0" fillId="0" borderId="5" xfId="0" applyNumberFormat="1" applyBorder="1" applyAlignment="1">
      <alignment horizontal="center" vertical="center"/>
    </xf>
    <xf numFmtId="43" fontId="0" fillId="0" borderId="5" xfId="0" applyNumberFormat="1" applyBorder="1" applyAlignment="1">
      <alignment horizontal="center" vertical="center"/>
    </xf>
    <xf numFmtId="167" fontId="0" fillId="0" borderId="5" xfId="0" applyNumberFormat="1" applyBorder="1" applyAlignment="1">
      <alignment horizontal="center" vertical="center"/>
    </xf>
    <xf numFmtId="43" fontId="0" fillId="0" borderId="5" xfId="1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0" fontId="4" fillId="0" borderId="5" xfId="0" applyFont="1" applyFill="1" applyBorder="1" applyAlignment="1">
      <alignment horizontal="right" vertical="center" wrapText="1"/>
    </xf>
    <xf numFmtId="3" fontId="3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  <xf numFmtId="0" fontId="3" fillId="0" borderId="8" xfId="0" applyFont="1" applyBorder="1" applyAlignment="1">
      <alignment vertical="center" wrapText="1"/>
    </xf>
    <xf numFmtId="0" fontId="3" fillId="0" borderId="7" xfId="0" applyFont="1" applyBorder="1" applyAlignment="1">
      <alignment horizontal="right" vertical="center" wrapText="1"/>
    </xf>
    <xf numFmtId="3" fontId="3" fillId="0" borderId="5" xfId="0" applyNumberFormat="1" applyFont="1" applyBorder="1" applyAlignment="1">
      <alignment horizontal="right" vertical="center" wrapText="1"/>
    </xf>
    <xf numFmtId="0" fontId="3" fillId="0" borderId="5" xfId="0" applyFont="1" applyBorder="1" applyAlignment="1">
      <alignment horizontal="right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Изменения</a:t>
            </a:r>
            <a:r>
              <a:rPr lang="ru-RU" baseline="0"/>
              <a:t> стоимостей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Лист1!$B$17</c:f>
              <c:strCache>
                <c:ptCount val="1"/>
                <c:pt idx="0">
                  <c:v>Стоимость (тыс.руб.)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Лист1!$A$18:$A$22</c:f>
              <c:strCache>
                <c:ptCount val="5"/>
                <c:pt idx="0">
                  <c:v>Монитор</c:v>
                </c:pt>
                <c:pt idx="1">
                  <c:v>Клавиатура</c:v>
                </c:pt>
                <c:pt idx="2">
                  <c:v>Дискета</c:v>
                </c:pt>
                <c:pt idx="3">
                  <c:v>Принтер</c:v>
                </c:pt>
                <c:pt idx="4">
                  <c:v>Сканер</c:v>
                </c:pt>
              </c:strCache>
            </c:strRef>
          </c:cat>
          <c:val>
            <c:numRef>
              <c:f>Лист1!$B$18:$B$22</c:f>
              <c:numCache>
                <c:formatCode>_-* #\ ##0_-;\-* #\ ##0_-;_-* "-"??_-;_-@_-</c:formatCode>
                <c:ptCount val="5"/>
                <c:pt idx="0">
                  <c:v>60</c:v>
                </c:pt>
                <c:pt idx="1">
                  <c:v>6.25</c:v>
                </c:pt>
                <c:pt idx="2">
                  <c:v>2</c:v>
                </c:pt>
                <c:pt idx="3">
                  <c:v>20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4C-4C74-B5C4-4F74B7E8868F}"/>
            </c:ext>
          </c:extLst>
        </c:ser>
        <c:ser>
          <c:idx val="1"/>
          <c:order val="1"/>
          <c:tx>
            <c:strRef>
              <c:f>Лист1!$C$17</c:f>
              <c:strCache>
                <c:ptCount val="1"/>
                <c:pt idx="0">
                  <c:v>Стоимость с учетом скидки (тыс. руб.)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Лист1!$A$18:$A$22</c:f>
              <c:strCache>
                <c:ptCount val="5"/>
                <c:pt idx="0">
                  <c:v>Монитор</c:v>
                </c:pt>
                <c:pt idx="1">
                  <c:v>Клавиатура</c:v>
                </c:pt>
                <c:pt idx="2">
                  <c:v>Дискета</c:v>
                </c:pt>
                <c:pt idx="3">
                  <c:v>Принтер</c:v>
                </c:pt>
                <c:pt idx="4">
                  <c:v>Сканер</c:v>
                </c:pt>
              </c:strCache>
            </c:strRef>
          </c:cat>
          <c:val>
            <c:numRef>
              <c:f>Лист1!$C$18:$C$22</c:f>
              <c:numCache>
                <c:formatCode>_-* #\ ##0.00\ _₽_-;\-* #\ ##0.00\ _₽_-;_-* "-"??\ _₽_-;_-@_-</c:formatCode>
                <c:ptCount val="5"/>
                <c:pt idx="0">
                  <c:v>55.8</c:v>
                </c:pt>
                <c:pt idx="1">
                  <c:v>6.1875</c:v>
                </c:pt>
                <c:pt idx="2">
                  <c:v>1.98</c:v>
                </c:pt>
                <c:pt idx="3">
                  <c:v>19.8</c:v>
                </c:pt>
                <c:pt idx="4">
                  <c:v>7.92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4C-4C74-B5C4-4F74B7E886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77635744"/>
        <c:axId val="577633944"/>
        <c:axId val="0"/>
      </c:bar3DChart>
      <c:catAx>
        <c:axId val="577635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633944"/>
        <c:crosses val="autoZero"/>
        <c:auto val="1"/>
        <c:lblAlgn val="ctr"/>
        <c:lblOffset val="100"/>
        <c:noMultiLvlLbl val="0"/>
      </c:catAx>
      <c:valAx>
        <c:axId val="577633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635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Лист2!$C$13</c:f>
              <c:strCache>
                <c:ptCount val="1"/>
                <c:pt idx="0">
                  <c:v>Объем продаж, $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Лист2!$B$14:$B$18</c:f>
              <c:strCache>
                <c:ptCount val="5"/>
                <c:pt idx="1">
                  <c:v>Принтер лазерный Ч/Б</c:v>
                </c:pt>
                <c:pt idx="2">
                  <c:v>Принтер лазерный Ц/В</c:v>
                </c:pt>
                <c:pt idx="3">
                  <c:v>Принтер струйный Ч</c:v>
                </c:pt>
                <c:pt idx="4">
                  <c:v>Принтер струйный Ч/Б</c:v>
                </c:pt>
              </c:strCache>
            </c:strRef>
          </c:cat>
          <c:val>
            <c:numRef>
              <c:f>Лист2!$C$14:$C$18</c:f>
              <c:numCache>
                <c:formatCode>General</c:formatCode>
                <c:ptCount val="5"/>
                <c:pt idx="1">
                  <c:v>22360</c:v>
                </c:pt>
                <c:pt idx="2">
                  <c:v>4000</c:v>
                </c:pt>
                <c:pt idx="3">
                  <c:v>10900</c:v>
                </c:pt>
                <c:pt idx="4">
                  <c:v>10240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3D-42F5-A20D-97C0ABC75B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Лист3!$C$17</c:f>
              <c:strCache>
                <c:ptCount val="1"/>
                <c:pt idx="0">
                  <c:v>Сумма скидки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Лист3!$B$18:$B$22</c:f>
              <c:strCache>
                <c:ptCount val="5"/>
                <c:pt idx="0">
                  <c:v>Тетради простые в клетку</c:v>
                </c:pt>
                <c:pt idx="1">
                  <c:v>Ручки шариковые с синим стержнем</c:v>
                </c:pt>
                <c:pt idx="2">
                  <c:v>Карандаши простые, НВ</c:v>
                </c:pt>
                <c:pt idx="3">
                  <c:v>Ластики</c:v>
                </c:pt>
                <c:pt idx="4">
                  <c:v>Линейки пластмассовые, 35 см.</c:v>
                </c:pt>
              </c:strCache>
            </c:strRef>
          </c:cat>
          <c:val>
            <c:numRef>
              <c:f>Лист3!$C$18:$C$22</c:f>
              <c:numCache>
                <c:formatCode>General</c:formatCode>
                <c:ptCount val="5"/>
                <c:pt idx="0">
                  <c:v>22.5</c:v>
                </c:pt>
                <c:pt idx="1">
                  <c:v>16.100000000000001</c:v>
                </c:pt>
                <c:pt idx="2">
                  <c:v>30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54-4FF9-AD50-A3B4E3271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Лист4!$B$28</c:f>
              <c:strCache>
                <c:ptCount val="1"/>
                <c:pt idx="0">
                  <c:v>Площадь, тыс. км2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Лист4!$A$29:$A$39</c:f>
              <c:strCache>
                <c:ptCount val="11"/>
                <c:pt idx="0">
                  <c:v>Россия</c:v>
                </c:pt>
                <c:pt idx="1">
                  <c:v>США</c:v>
                </c:pt>
                <c:pt idx="2">
                  <c:v>Канада</c:v>
                </c:pt>
                <c:pt idx="3">
                  <c:v>Франция</c:v>
                </c:pt>
                <c:pt idx="4">
                  <c:v>Китай</c:v>
                </c:pt>
                <c:pt idx="5">
                  <c:v>Япония</c:v>
                </c:pt>
                <c:pt idx="6">
                  <c:v>Индия</c:v>
                </c:pt>
                <c:pt idx="7">
                  <c:v>Израиль</c:v>
                </c:pt>
                <c:pt idx="8">
                  <c:v>Бразилия</c:v>
                </c:pt>
                <c:pt idx="9">
                  <c:v>Египет</c:v>
                </c:pt>
                <c:pt idx="10">
                  <c:v>Нигерия</c:v>
                </c:pt>
              </c:strCache>
            </c:strRef>
          </c:cat>
          <c:val>
            <c:numRef>
              <c:f>Лист4!$B$29:$B$39</c:f>
              <c:numCache>
                <c:formatCode>#,##0</c:formatCode>
                <c:ptCount val="11"/>
                <c:pt idx="0">
                  <c:v>17075</c:v>
                </c:pt>
                <c:pt idx="1">
                  <c:v>9363</c:v>
                </c:pt>
                <c:pt idx="2">
                  <c:v>9976</c:v>
                </c:pt>
                <c:pt idx="3" formatCode="General">
                  <c:v>552</c:v>
                </c:pt>
                <c:pt idx="4">
                  <c:v>9561</c:v>
                </c:pt>
                <c:pt idx="5" formatCode="General">
                  <c:v>372</c:v>
                </c:pt>
                <c:pt idx="6">
                  <c:v>3288</c:v>
                </c:pt>
                <c:pt idx="7" formatCode="General">
                  <c:v>14</c:v>
                </c:pt>
                <c:pt idx="8">
                  <c:v>2767</c:v>
                </c:pt>
                <c:pt idx="9">
                  <c:v>1002</c:v>
                </c:pt>
                <c:pt idx="10" formatCode="General">
                  <c:v>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A9-4C91-8DD5-BC1D66114E5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4762</xdr:rowOff>
    </xdr:from>
    <xdr:to>
      <xdr:col>7</xdr:col>
      <xdr:colOff>142875</xdr:colOff>
      <xdr:row>23</xdr:row>
      <xdr:rowOff>138112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B07D257C-9DF5-9AC1-D942-CD2D62F260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61912</xdr:colOff>
      <xdr:row>11</xdr:row>
      <xdr:rowOff>128587</xdr:rowOff>
    </xdr:from>
    <xdr:to>
      <xdr:col>5</xdr:col>
      <xdr:colOff>4762</xdr:colOff>
      <xdr:row>21</xdr:row>
      <xdr:rowOff>71437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E34CCB8-52D2-DD58-BD5D-2C4C457667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90487</xdr:rowOff>
    </xdr:from>
    <xdr:to>
      <xdr:col>5</xdr:col>
      <xdr:colOff>123825</xdr:colOff>
      <xdr:row>24</xdr:row>
      <xdr:rowOff>61912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B1D52ED-ACE9-9671-EF17-7F13F725B0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26</xdr:row>
      <xdr:rowOff>138111</xdr:rowOff>
    </xdr:from>
    <xdr:to>
      <xdr:col>7</xdr:col>
      <xdr:colOff>457200</xdr:colOff>
      <xdr:row>40</xdr:row>
      <xdr:rowOff>171449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FC7159E-77C5-3EDD-17F8-437F8CB6B7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384E5-A85A-4356-A6F2-06F1B58DD59E}">
  <sheetPr filterMode="1"/>
  <dimension ref="A1:H22"/>
  <sheetViews>
    <sheetView workbookViewId="0">
      <selection activeCell="I22" sqref="I22"/>
    </sheetView>
  </sheetViews>
  <sheetFormatPr defaultRowHeight="15" x14ac:dyDescent="0.25"/>
  <cols>
    <col min="2" max="2" width="11.5703125" customWidth="1"/>
  </cols>
  <sheetData>
    <row r="1" spans="1:8" ht="99.75" customHeight="1" x14ac:dyDescent="0.25">
      <c r="A1" s="14" t="s">
        <v>0</v>
      </c>
      <c r="B1" s="15" t="s">
        <v>1</v>
      </c>
      <c r="C1" s="14" t="s">
        <v>2</v>
      </c>
      <c r="D1" s="14" t="s">
        <v>3</v>
      </c>
      <c r="E1" s="15" t="s">
        <v>4</v>
      </c>
      <c r="F1" s="14" t="s">
        <v>5</v>
      </c>
      <c r="G1" s="15" t="s">
        <v>6</v>
      </c>
      <c r="H1" s="15" t="s">
        <v>7</v>
      </c>
    </row>
    <row r="2" spans="1:8" x14ac:dyDescent="0.25">
      <c r="A2" s="16">
        <v>202</v>
      </c>
      <c r="B2" s="12" t="s">
        <v>8</v>
      </c>
      <c r="C2" s="16">
        <v>5</v>
      </c>
      <c r="D2" s="17">
        <v>12</v>
      </c>
      <c r="E2" s="18">
        <f>C2*D2</f>
        <v>60</v>
      </c>
      <c r="F2" s="16">
        <f>IF(E2&gt;=100,10,IF(E2&gt;=60,7,1))</f>
        <v>7</v>
      </c>
      <c r="G2" s="19">
        <f>E2*F2/100</f>
        <v>4.2</v>
      </c>
      <c r="H2" s="20">
        <f>E2-G2</f>
        <v>55.8</v>
      </c>
    </row>
    <row r="3" spans="1:8" x14ac:dyDescent="0.25">
      <c r="A3" s="16">
        <v>201</v>
      </c>
      <c r="B3" s="12" t="s">
        <v>9</v>
      </c>
      <c r="C3" s="16">
        <v>25</v>
      </c>
      <c r="D3" s="21">
        <v>0.25</v>
      </c>
      <c r="E3" s="18">
        <f t="shared" ref="E3:E6" si="0">C3*D3</f>
        <v>6.25</v>
      </c>
      <c r="F3" s="16">
        <f t="shared" ref="F3:F6" si="1">IF(E3&gt;=100,10,IF(E3&gt;=60,7,1))</f>
        <v>1</v>
      </c>
      <c r="G3" s="19">
        <f t="shared" ref="G3:G6" si="2">E3*F3/100</f>
        <v>6.25E-2</v>
      </c>
      <c r="H3" s="20">
        <f t="shared" ref="H3:H6" si="3">E3-G3</f>
        <v>6.1875</v>
      </c>
    </row>
    <row r="4" spans="1:8" x14ac:dyDescent="0.25">
      <c r="A4" s="16">
        <v>213</v>
      </c>
      <c r="B4" s="12" t="s">
        <v>10</v>
      </c>
      <c r="C4" s="16">
        <v>100</v>
      </c>
      <c r="D4" s="21">
        <v>0.02</v>
      </c>
      <c r="E4" s="18">
        <f t="shared" si="0"/>
        <v>2</v>
      </c>
      <c r="F4" s="16">
        <f t="shared" si="1"/>
        <v>1</v>
      </c>
      <c r="G4" s="19">
        <f t="shared" si="2"/>
        <v>0.02</v>
      </c>
      <c r="H4" s="20">
        <f t="shared" si="3"/>
        <v>1.98</v>
      </c>
    </row>
    <row r="5" spans="1:8" x14ac:dyDescent="0.25">
      <c r="A5" s="16">
        <v>335</v>
      </c>
      <c r="B5" s="12" t="s">
        <v>11</v>
      </c>
      <c r="C5" s="16">
        <v>2</v>
      </c>
      <c r="D5" s="17">
        <v>10</v>
      </c>
      <c r="E5" s="18">
        <f t="shared" si="0"/>
        <v>20</v>
      </c>
      <c r="F5" s="16">
        <f t="shared" si="1"/>
        <v>1</v>
      </c>
      <c r="G5" s="19">
        <f t="shared" si="2"/>
        <v>0.2</v>
      </c>
      <c r="H5" s="20">
        <f t="shared" si="3"/>
        <v>19.8</v>
      </c>
    </row>
    <row r="6" spans="1:8" x14ac:dyDescent="0.25">
      <c r="A6" s="16">
        <v>204</v>
      </c>
      <c r="B6" s="12" t="s">
        <v>12</v>
      </c>
      <c r="C6" s="16">
        <v>1</v>
      </c>
      <c r="D6" s="17">
        <v>8</v>
      </c>
      <c r="E6" s="18">
        <f t="shared" si="0"/>
        <v>8</v>
      </c>
      <c r="F6" s="16">
        <f t="shared" si="1"/>
        <v>1</v>
      </c>
      <c r="G6" s="19">
        <f t="shared" si="2"/>
        <v>0.08</v>
      </c>
      <c r="H6" s="20">
        <f t="shared" si="3"/>
        <v>7.92</v>
      </c>
    </row>
    <row r="7" spans="1:8" x14ac:dyDescent="0.25">
      <c r="A7" s="16"/>
      <c r="B7" s="13" t="s">
        <v>13</v>
      </c>
      <c r="C7" s="16">
        <f>SUM(C2:C6)</f>
        <v>133</v>
      </c>
      <c r="D7" s="16">
        <f t="shared" ref="D7:H7" si="4">SUM(D2:D6)</f>
        <v>30.27</v>
      </c>
      <c r="E7" s="16">
        <f t="shared" si="4"/>
        <v>96.25</v>
      </c>
      <c r="F7" s="16">
        <f t="shared" si="4"/>
        <v>11</v>
      </c>
      <c r="G7" s="16">
        <f t="shared" si="4"/>
        <v>4.5625</v>
      </c>
      <c r="H7" s="16">
        <f t="shared" si="4"/>
        <v>91.6875</v>
      </c>
    </row>
    <row r="10" spans="1:8" x14ac:dyDescent="0.25">
      <c r="A10">
        <v>201</v>
      </c>
      <c r="B10" t="s">
        <v>9</v>
      </c>
      <c r="C10">
        <v>25</v>
      </c>
      <c r="D10" s="2">
        <v>0.25</v>
      </c>
      <c r="E10" s="4">
        <f t="shared" ref="E10:E13" si="5">C10*D10</f>
        <v>6.25</v>
      </c>
      <c r="F10">
        <f t="shared" ref="F10:F13" si="6">IF(E10&gt;=100,10,IF(E10&gt;=60,7,1))</f>
        <v>1</v>
      </c>
      <c r="G10" s="5">
        <f t="shared" ref="G10:G13" si="7">E10*F10/100</f>
        <v>6.25E-2</v>
      </c>
      <c r="H10" s="6">
        <f t="shared" ref="H10:H13" si="8">E10-G10</f>
        <v>6.1875</v>
      </c>
    </row>
    <row r="11" spans="1:8" hidden="1" x14ac:dyDescent="0.25">
      <c r="A11">
        <v>213</v>
      </c>
      <c r="B11" t="s">
        <v>10</v>
      </c>
      <c r="C11">
        <v>100</v>
      </c>
      <c r="D11" s="2">
        <v>0.02</v>
      </c>
      <c r="E11" s="4">
        <f t="shared" si="5"/>
        <v>2</v>
      </c>
      <c r="F11">
        <f t="shared" si="6"/>
        <v>1</v>
      </c>
      <c r="G11" s="5">
        <f t="shared" si="7"/>
        <v>0.02</v>
      </c>
      <c r="H11" s="6">
        <f t="shared" si="8"/>
        <v>1.98</v>
      </c>
    </row>
    <row r="12" spans="1:8" hidden="1" x14ac:dyDescent="0.25">
      <c r="A12">
        <v>335</v>
      </c>
      <c r="B12" t="s">
        <v>11</v>
      </c>
      <c r="C12">
        <v>2</v>
      </c>
      <c r="D12" s="3">
        <v>10</v>
      </c>
      <c r="E12" s="4">
        <f t="shared" si="5"/>
        <v>20</v>
      </c>
      <c r="F12">
        <f t="shared" si="6"/>
        <v>1</v>
      </c>
      <c r="G12" s="5">
        <f t="shared" si="7"/>
        <v>0.2</v>
      </c>
      <c r="H12" s="6">
        <f t="shared" si="8"/>
        <v>19.8</v>
      </c>
    </row>
    <row r="13" spans="1:8" x14ac:dyDescent="0.25">
      <c r="A13">
        <v>204</v>
      </c>
      <c r="B13" t="s">
        <v>12</v>
      </c>
      <c r="C13">
        <v>1</v>
      </c>
      <c r="D13" s="3">
        <v>8</v>
      </c>
      <c r="E13" s="4">
        <f t="shared" si="5"/>
        <v>8</v>
      </c>
      <c r="F13">
        <f t="shared" si="6"/>
        <v>1</v>
      </c>
      <c r="G13" s="5">
        <f t="shared" si="7"/>
        <v>0.08</v>
      </c>
      <c r="H13" s="6">
        <f t="shared" si="8"/>
        <v>7.92</v>
      </c>
    </row>
    <row r="14" spans="1:8" hidden="1" x14ac:dyDescent="0.25">
      <c r="B14" t="s">
        <v>13</v>
      </c>
      <c r="C14">
        <f>SUM(C10:C13)</f>
        <v>128</v>
      </c>
      <c r="D14">
        <f>SUM(D10:D13)</f>
        <v>18.27</v>
      </c>
      <c r="E14">
        <f>SUM(E10:E13)</f>
        <v>36.25</v>
      </c>
      <c r="F14">
        <f>SUM(F10:F13)</f>
        <v>4</v>
      </c>
      <c r="G14">
        <f>SUM(G10:G13)</f>
        <v>0.36250000000000004</v>
      </c>
      <c r="H14">
        <f>SUM(H10:H13)</f>
        <v>35.887500000000003</v>
      </c>
    </row>
    <row r="17" spans="1:3" ht="100.5" x14ac:dyDescent="0.25">
      <c r="A17" s="1" t="s">
        <v>1</v>
      </c>
      <c r="B17" s="1" t="s">
        <v>4</v>
      </c>
      <c r="C17" s="1" t="s">
        <v>7</v>
      </c>
    </row>
    <row r="18" spans="1:3" x14ac:dyDescent="0.25">
      <c r="A18" t="s">
        <v>8</v>
      </c>
      <c r="B18" s="4">
        <f>$C2*$D2</f>
        <v>60</v>
      </c>
      <c r="C18" s="6">
        <f>$E2-$G2</f>
        <v>55.8</v>
      </c>
    </row>
    <row r="19" spans="1:3" x14ac:dyDescent="0.25">
      <c r="A19" t="s">
        <v>9</v>
      </c>
      <c r="B19" s="4">
        <f t="shared" ref="B19:B22" si="9">$C3*$D3</f>
        <v>6.25</v>
      </c>
      <c r="C19" s="6">
        <f t="shared" ref="C19:C22" si="10">$E3-$G3</f>
        <v>6.1875</v>
      </c>
    </row>
    <row r="20" spans="1:3" x14ac:dyDescent="0.25">
      <c r="A20" t="s">
        <v>10</v>
      </c>
      <c r="B20" s="4">
        <f t="shared" si="9"/>
        <v>2</v>
      </c>
      <c r="C20" s="6">
        <f t="shared" si="10"/>
        <v>1.98</v>
      </c>
    </row>
    <row r="21" spans="1:3" x14ac:dyDescent="0.25">
      <c r="A21" t="s">
        <v>11</v>
      </c>
      <c r="B21" s="4">
        <f t="shared" si="9"/>
        <v>20</v>
      </c>
      <c r="C21" s="6">
        <f t="shared" si="10"/>
        <v>19.8</v>
      </c>
    </row>
    <row r="22" spans="1:3" x14ac:dyDescent="0.25">
      <c r="A22" t="s">
        <v>12</v>
      </c>
      <c r="B22" s="4">
        <f t="shared" si="9"/>
        <v>8</v>
      </c>
      <c r="C22" s="6">
        <f t="shared" si="10"/>
        <v>7.92</v>
      </c>
    </row>
  </sheetData>
  <autoFilter ref="H10:H14" xr:uid="{389384E5-A85A-4356-A6F2-06F1B58DD59E}">
    <filterColumn colId="0">
      <customFilters and="1">
        <customFilter operator="greaterThanOrEqual" val="5"/>
        <customFilter operator="lessThanOrEqual" val="10"/>
      </customFilters>
    </filterColumn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03BC3-00E8-41F2-A3FE-ED248A23B468}">
  <sheetPr filterMode="1"/>
  <dimension ref="A1:G18"/>
  <sheetViews>
    <sheetView topLeftCell="A4" workbookViewId="0">
      <selection sqref="A1:G5"/>
    </sheetView>
  </sheetViews>
  <sheetFormatPr defaultRowHeight="15" x14ac:dyDescent="0.25"/>
  <cols>
    <col min="1" max="1" width="5" customWidth="1"/>
    <col min="2" max="2" width="17.42578125" customWidth="1"/>
    <col min="3" max="3" width="15.140625" customWidth="1"/>
    <col min="4" max="4" width="16.42578125" customWidth="1"/>
    <col min="5" max="5" width="15.42578125" customWidth="1"/>
    <col min="6" max="6" width="16.140625" customWidth="1"/>
    <col min="7" max="7" width="13.140625" customWidth="1"/>
  </cols>
  <sheetData>
    <row r="1" spans="1:7" ht="30" customHeight="1" x14ac:dyDescent="0.25">
      <c r="A1" s="24" t="s">
        <v>14</v>
      </c>
      <c r="B1" s="24" t="s">
        <v>15</v>
      </c>
      <c r="C1" s="24" t="s">
        <v>16</v>
      </c>
      <c r="D1" s="24" t="s">
        <v>17</v>
      </c>
      <c r="E1" s="24" t="s">
        <v>18</v>
      </c>
      <c r="F1" s="24" t="s">
        <v>25</v>
      </c>
      <c r="G1" s="24" t="s">
        <v>19</v>
      </c>
    </row>
    <row r="2" spans="1:7" ht="31.5" x14ac:dyDescent="0.25">
      <c r="A2" s="25">
        <v>1</v>
      </c>
      <c r="B2" s="25" t="s">
        <v>20</v>
      </c>
      <c r="C2" s="25">
        <v>430</v>
      </c>
      <c r="D2" s="25">
        <v>60</v>
      </c>
      <c r="E2" s="25">
        <v>52</v>
      </c>
      <c r="F2" s="25">
        <f>C2*E2</f>
        <v>22360</v>
      </c>
      <c r="G2" s="25">
        <f>IF(F2&gt;10000,5,IF(F2&gt;=5000,3,2))</f>
        <v>5</v>
      </c>
    </row>
    <row r="3" spans="1:7" ht="31.5" x14ac:dyDescent="0.25">
      <c r="A3" s="25">
        <v>2</v>
      </c>
      <c r="B3" s="25" t="s">
        <v>21</v>
      </c>
      <c r="C3" s="25">
        <v>2000</v>
      </c>
      <c r="D3" s="25">
        <v>10</v>
      </c>
      <c r="E3" s="25">
        <v>2</v>
      </c>
      <c r="F3" s="25">
        <f t="shared" ref="F3:F5" si="0">C3*E3</f>
        <v>4000</v>
      </c>
      <c r="G3" s="25">
        <f t="shared" ref="G3:G5" si="1">IF(F3&gt;10000,5,IF(F3&gt;=5000,3,2))</f>
        <v>2</v>
      </c>
    </row>
    <row r="4" spans="1:7" ht="31.5" x14ac:dyDescent="0.25">
      <c r="A4" s="25">
        <v>3</v>
      </c>
      <c r="B4" s="25" t="s">
        <v>22</v>
      </c>
      <c r="C4" s="25">
        <v>218</v>
      </c>
      <c r="D4" s="25">
        <v>56</v>
      </c>
      <c r="E4" s="25">
        <v>50</v>
      </c>
      <c r="F4" s="25">
        <f t="shared" si="0"/>
        <v>10900</v>
      </c>
      <c r="G4" s="25">
        <f t="shared" si="1"/>
        <v>5</v>
      </c>
    </row>
    <row r="5" spans="1:7" ht="31.5" x14ac:dyDescent="0.25">
      <c r="A5" s="25">
        <v>4</v>
      </c>
      <c r="B5" s="25" t="s">
        <v>23</v>
      </c>
      <c r="C5" s="25">
        <v>320</v>
      </c>
      <c r="D5" s="25">
        <v>40</v>
      </c>
      <c r="E5" s="25">
        <v>32</v>
      </c>
      <c r="F5" s="25">
        <f t="shared" si="0"/>
        <v>10240</v>
      </c>
      <c r="G5" s="25">
        <f t="shared" si="1"/>
        <v>5</v>
      </c>
    </row>
    <row r="6" spans="1:7" ht="16.5" thickBot="1" x14ac:dyDescent="0.3">
      <c r="A6" s="10" t="s">
        <v>24</v>
      </c>
      <c r="B6" s="23"/>
      <c r="C6" s="7">
        <f>SUM(C2:C5)</f>
        <v>2968</v>
      </c>
      <c r="D6" s="7">
        <f t="shared" ref="D6:G6" si="2">SUM(D2:D5)</f>
        <v>166</v>
      </c>
      <c r="E6" s="7">
        <f t="shared" si="2"/>
        <v>136</v>
      </c>
      <c r="F6" s="7">
        <f t="shared" si="2"/>
        <v>47500</v>
      </c>
      <c r="G6" s="7">
        <f t="shared" si="2"/>
        <v>17</v>
      </c>
    </row>
    <row r="7" spans="1:7" ht="15.75" x14ac:dyDescent="0.25">
      <c r="A7" s="11"/>
    </row>
    <row r="8" spans="1:7" ht="88.5" customHeight="1" thickBot="1" x14ac:dyDescent="0.3">
      <c r="B8" s="7" t="s">
        <v>20</v>
      </c>
      <c r="C8" s="7">
        <v>430</v>
      </c>
      <c r="D8" s="7">
        <v>60</v>
      </c>
      <c r="E8" s="7">
        <v>52</v>
      </c>
      <c r="F8" s="7">
        <f>C8*E8</f>
        <v>22360</v>
      </c>
      <c r="G8" s="7">
        <f>IF(F8&gt;10000,5,IF(F8&gt;=5000,3,2))</f>
        <v>5</v>
      </c>
    </row>
    <row r="9" spans="1:7" ht="51.75" hidden="1" customHeight="1" thickBot="1" x14ac:dyDescent="0.3">
      <c r="B9" s="7" t="s">
        <v>21</v>
      </c>
      <c r="C9" s="7">
        <v>2000</v>
      </c>
      <c r="D9" s="7">
        <v>10</v>
      </c>
      <c r="E9" s="7">
        <v>2</v>
      </c>
      <c r="F9" s="7">
        <f t="shared" ref="F9:F11" si="3">C9*E9</f>
        <v>4000</v>
      </c>
      <c r="G9" s="7">
        <f t="shared" ref="G9:G11" si="4">IF(F9&gt;10000,5,IF(F9&gt;=5000,3,2))</f>
        <v>2</v>
      </c>
    </row>
    <row r="10" spans="1:7" ht="48" customHeight="1" thickBot="1" x14ac:dyDescent="0.3">
      <c r="B10" s="7" t="s">
        <v>22</v>
      </c>
      <c r="C10" s="7">
        <v>218</v>
      </c>
      <c r="D10" s="7">
        <v>56</v>
      </c>
      <c r="E10" s="7">
        <v>50</v>
      </c>
      <c r="F10" s="7">
        <f t="shared" si="3"/>
        <v>10900</v>
      </c>
      <c r="G10" s="7">
        <f t="shared" si="4"/>
        <v>5</v>
      </c>
    </row>
    <row r="11" spans="1:7" ht="60" customHeight="1" thickBot="1" x14ac:dyDescent="0.3">
      <c r="B11" s="7" t="s">
        <v>23</v>
      </c>
      <c r="C11" s="7">
        <v>320</v>
      </c>
      <c r="D11" s="7">
        <v>40</v>
      </c>
      <c r="E11" s="7">
        <v>32</v>
      </c>
      <c r="F11" s="7">
        <f t="shared" si="3"/>
        <v>10240</v>
      </c>
      <c r="G11" s="7">
        <f t="shared" si="4"/>
        <v>5</v>
      </c>
    </row>
    <row r="12" spans="1:7" ht="15.75" thickBot="1" x14ac:dyDescent="0.3"/>
    <row r="13" spans="1:7" x14ac:dyDescent="0.25">
      <c r="B13" s="8" t="s">
        <v>15</v>
      </c>
      <c r="C13" s="8" t="s">
        <v>25</v>
      </c>
    </row>
    <row r="14" spans="1:7" ht="15.75" thickBot="1" x14ac:dyDescent="0.3">
      <c r="B14" s="9"/>
      <c r="C14" s="9"/>
    </row>
    <row r="15" spans="1:7" ht="32.25" thickBot="1" x14ac:dyDescent="0.3">
      <c r="B15" s="7" t="s">
        <v>20</v>
      </c>
      <c r="C15" s="7">
        <f>$C2*$E2</f>
        <v>22360</v>
      </c>
    </row>
    <row r="16" spans="1:7" ht="32.25" thickBot="1" x14ac:dyDescent="0.3">
      <c r="B16" s="7" t="s">
        <v>21</v>
      </c>
      <c r="C16" s="7">
        <f t="shared" ref="C16:C18" si="5">$C3*$E3</f>
        <v>4000</v>
      </c>
    </row>
    <row r="17" spans="2:3" ht="32.25" thickBot="1" x14ac:dyDescent="0.3">
      <c r="B17" s="7" t="s">
        <v>22</v>
      </c>
      <c r="C17" s="7">
        <f t="shared" si="5"/>
        <v>10900</v>
      </c>
    </row>
    <row r="18" spans="2:3" ht="32.25" thickBot="1" x14ac:dyDescent="0.3">
      <c r="B18" s="7" t="s">
        <v>23</v>
      </c>
      <c r="C18" s="7">
        <f t="shared" si="5"/>
        <v>10240</v>
      </c>
    </row>
  </sheetData>
  <autoFilter ref="B8:G11" xr:uid="{E6303BC3-00E8-41F2-A3FE-ED248A23B468}">
    <filterColumn colId="4">
      <customFilters>
        <customFilter operator="greaterThan" val="10000"/>
      </customFilters>
    </filterColumn>
  </autoFilter>
  <mergeCells count="3">
    <mergeCell ref="A6:B6"/>
    <mergeCell ref="B13:B14"/>
    <mergeCell ref="C13:C1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A8136-B42B-4C3B-A00D-46843B0C321A}">
  <sheetPr filterMode="1"/>
  <dimension ref="A1:G22"/>
  <sheetViews>
    <sheetView workbookViewId="0">
      <selection activeCell="H24" sqref="H24"/>
    </sheetView>
  </sheetViews>
  <sheetFormatPr defaultRowHeight="15" x14ac:dyDescent="0.25"/>
  <cols>
    <col min="1" max="1" width="5.28515625" customWidth="1"/>
    <col min="2" max="2" width="19.7109375" customWidth="1"/>
    <col min="3" max="3" width="14" customWidth="1"/>
    <col min="4" max="4" width="13.5703125" customWidth="1"/>
    <col min="5" max="5" width="14.140625" customWidth="1"/>
    <col min="6" max="6" width="13.28515625" customWidth="1"/>
    <col min="7" max="7" width="13.5703125" customWidth="1"/>
  </cols>
  <sheetData>
    <row r="1" spans="1:7" ht="47.25" x14ac:dyDescent="0.25">
      <c r="A1" s="25" t="s">
        <v>14</v>
      </c>
      <c r="B1" s="25" t="s">
        <v>26</v>
      </c>
      <c r="C1" s="25" t="s">
        <v>27</v>
      </c>
      <c r="D1" s="25" t="s">
        <v>28</v>
      </c>
      <c r="E1" s="25" t="s">
        <v>29</v>
      </c>
      <c r="F1" s="25" t="s">
        <v>35</v>
      </c>
      <c r="G1" s="25" t="s">
        <v>36</v>
      </c>
    </row>
    <row r="2" spans="1:7" ht="31.5" x14ac:dyDescent="0.25">
      <c r="A2" s="25">
        <v>1</v>
      </c>
      <c r="B2" s="24" t="s">
        <v>30</v>
      </c>
      <c r="C2" s="25">
        <v>150</v>
      </c>
      <c r="D2" s="26">
        <v>3</v>
      </c>
      <c r="E2" s="25">
        <f>C2*D2</f>
        <v>450</v>
      </c>
      <c r="F2" s="25">
        <f>IF(C2&gt;=100,5,IF(C2&gt;=50,2,0))</f>
        <v>5</v>
      </c>
      <c r="G2" s="25">
        <f>E2-(E2*F2/100)</f>
        <v>427.5</v>
      </c>
    </row>
    <row r="3" spans="1:7" ht="31.5" x14ac:dyDescent="0.25">
      <c r="A3" s="25">
        <v>2</v>
      </c>
      <c r="B3" s="24" t="s">
        <v>31</v>
      </c>
      <c r="C3" s="25">
        <v>70</v>
      </c>
      <c r="D3" s="26">
        <v>11.5</v>
      </c>
      <c r="E3" s="25">
        <f t="shared" ref="E3:E6" si="0">C3*D3</f>
        <v>805</v>
      </c>
      <c r="F3" s="25">
        <f t="shared" ref="F3:F6" si="1">IF(C3&gt;=100,5,IF(C3&gt;=50,2,0))</f>
        <v>2</v>
      </c>
      <c r="G3" s="25">
        <f t="shared" ref="G3:G6" si="2">E3-(E3*F3/100)</f>
        <v>788.9</v>
      </c>
    </row>
    <row r="4" spans="1:7" ht="29.25" customHeight="1" x14ac:dyDescent="0.25">
      <c r="A4" s="25">
        <v>3</v>
      </c>
      <c r="B4" s="24" t="s">
        <v>32</v>
      </c>
      <c r="C4" s="25">
        <v>100</v>
      </c>
      <c r="D4" s="26">
        <v>6</v>
      </c>
      <c r="E4" s="25">
        <f t="shared" si="0"/>
        <v>600</v>
      </c>
      <c r="F4" s="25">
        <f t="shared" si="1"/>
        <v>5</v>
      </c>
      <c r="G4" s="25">
        <f t="shared" si="2"/>
        <v>570</v>
      </c>
    </row>
    <row r="5" spans="1:7" ht="15.75" x14ac:dyDescent="0.25">
      <c r="A5" s="25">
        <v>4</v>
      </c>
      <c r="B5" s="24" t="s">
        <v>33</v>
      </c>
      <c r="C5" s="25">
        <v>20</v>
      </c>
      <c r="D5" s="26">
        <v>2</v>
      </c>
      <c r="E5" s="25">
        <f t="shared" si="0"/>
        <v>40</v>
      </c>
      <c r="F5" s="25">
        <f t="shared" si="1"/>
        <v>0</v>
      </c>
      <c r="G5" s="25">
        <f t="shared" si="2"/>
        <v>40</v>
      </c>
    </row>
    <row r="6" spans="1:7" ht="47.25" x14ac:dyDescent="0.25">
      <c r="A6" s="25">
        <v>5</v>
      </c>
      <c r="B6" s="24" t="s">
        <v>34</v>
      </c>
      <c r="C6" s="25">
        <v>10</v>
      </c>
      <c r="D6" s="26">
        <v>8.1</v>
      </c>
      <c r="E6" s="25">
        <f t="shared" si="0"/>
        <v>81</v>
      </c>
      <c r="F6" s="25">
        <f t="shared" si="1"/>
        <v>0</v>
      </c>
      <c r="G6" s="25">
        <f t="shared" si="2"/>
        <v>81</v>
      </c>
    </row>
    <row r="7" spans="1:7" ht="15.75" x14ac:dyDescent="0.25">
      <c r="B7" s="27" t="s">
        <v>24</v>
      </c>
      <c r="C7" s="12">
        <f>SUM(C2:C6)</f>
        <v>350</v>
      </c>
      <c r="D7" s="12">
        <f t="shared" ref="D7:G7" si="3">SUM(D2:D6)</f>
        <v>30.6</v>
      </c>
      <c r="E7" s="12">
        <f t="shared" si="3"/>
        <v>1976</v>
      </c>
      <c r="F7" s="12">
        <f t="shared" si="3"/>
        <v>12</v>
      </c>
      <c r="G7" s="12">
        <f t="shared" si="3"/>
        <v>1907.4</v>
      </c>
    </row>
    <row r="10" spans="1:7" ht="15.75" x14ac:dyDescent="0.25">
      <c r="B10" s="25" t="s">
        <v>26</v>
      </c>
      <c r="C10" s="25" t="s">
        <v>28</v>
      </c>
    </row>
    <row r="11" spans="1:7" ht="31.5" hidden="1" x14ac:dyDescent="0.25">
      <c r="B11" s="24" t="s">
        <v>30</v>
      </c>
      <c r="C11" s="26">
        <v>3</v>
      </c>
    </row>
    <row r="12" spans="1:7" ht="31.5" x14ac:dyDescent="0.25">
      <c r="B12" s="24" t="s">
        <v>31</v>
      </c>
      <c r="C12" s="26">
        <v>11.5</v>
      </c>
    </row>
    <row r="13" spans="1:7" ht="31.5" x14ac:dyDescent="0.25">
      <c r="B13" s="24" t="s">
        <v>32</v>
      </c>
      <c r="C13" s="26">
        <v>6</v>
      </c>
    </row>
    <row r="14" spans="1:7" ht="15.75" hidden="1" x14ac:dyDescent="0.25">
      <c r="B14" s="24" t="s">
        <v>33</v>
      </c>
      <c r="C14" s="26">
        <v>2</v>
      </c>
    </row>
    <row r="15" spans="1:7" ht="47.25" x14ac:dyDescent="0.25">
      <c r="B15" s="24" t="s">
        <v>34</v>
      </c>
      <c r="C15" s="26">
        <v>8.1</v>
      </c>
    </row>
    <row r="17" spans="2:3" ht="15.75" x14ac:dyDescent="0.25">
      <c r="B17" s="25" t="s">
        <v>26</v>
      </c>
      <c r="C17" t="s">
        <v>37</v>
      </c>
    </row>
    <row r="18" spans="2:3" ht="31.5" x14ac:dyDescent="0.25">
      <c r="B18" s="24" t="s">
        <v>30</v>
      </c>
      <c r="C18">
        <f>$E2*$F2/100</f>
        <v>22.5</v>
      </c>
    </row>
    <row r="19" spans="2:3" ht="31.5" x14ac:dyDescent="0.25">
      <c r="B19" s="24" t="s">
        <v>31</v>
      </c>
      <c r="C19">
        <f t="shared" ref="C19:C22" si="4">$E3*$F3/100</f>
        <v>16.100000000000001</v>
      </c>
    </row>
    <row r="20" spans="2:3" ht="31.5" x14ac:dyDescent="0.25">
      <c r="B20" s="24" t="s">
        <v>32</v>
      </c>
      <c r="C20">
        <f t="shared" si="4"/>
        <v>30</v>
      </c>
    </row>
    <row r="21" spans="2:3" ht="15.75" x14ac:dyDescent="0.25">
      <c r="B21" s="24" t="s">
        <v>33</v>
      </c>
      <c r="C21">
        <f t="shared" si="4"/>
        <v>0</v>
      </c>
    </row>
    <row r="22" spans="2:3" ht="47.25" x14ac:dyDescent="0.25">
      <c r="B22" s="24" t="s">
        <v>34</v>
      </c>
      <c r="C22">
        <f t="shared" si="4"/>
        <v>0</v>
      </c>
    </row>
  </sheetData>
  <autoFilter ref="B10:C15" xr:uid="{37DA8136-B42B-4C3B-A00D-46843B0C321A}">
    <filterColumn colId="1">
      <customFilters>
        <customFilter operator="greaterThan" val="5"/>
      </customFilters>
    </filterColumn>
  </autoFilter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EDE02-2068-4132-BD5D-E068C30F2BDB}">
  <sheetPr filterMode="1"/>
  <dimension ref="A1:F39"/>
  <sheetViews>
    <sheetView tabSelected="1" workbookViewId="0">
      <selection activeCell="K13" sqref="K13"/>
    </sheetView>
  </sheetViews>
  <sheetFormatPr defaultRowHeight="15" x14ac:dyDescent="0.25"/>
  <cols>
    <col min="2" max="2" width="13.7109375" customWidth="1"/>
    <col min="3" max="3" width="14.5703125" customWidth="1"/>
    <col min="4" max="4" width="18" customWidth="1"/>
    <col min="5" max="5" width="11.140625" customWidth="1"/>
    <col min="6" max="6" width="15.42578125" customWidth="1"/>
  </cols>
  <sheetData>
    <row r="1" spans="1:6" ht="65.25" customHeight="1" x14ac:dyDescent="0.25">
      <c r="A1" s="25" t="s">
        <v>38</v>
      </c>
      <c r="B1" s="25" t="s">
        <v>39</v>
      </c>
      <c r="C1" s="25" t="s">
        <v>40</v>
      </c>
      <c r="D1" s="25" t="s">
        <v>41</v>
      </c>
      <c r="E1" s="25" t="s">
        <v>55</v>
      </c>
      <c r="F1" s="25" t="s">
        <v>42</v>
      </c>
    </row>
    <row r="2" spans="1:6" ht="15.75" x14ac:dyDescent="0.25">
      <c r="A2" s="24" t="s">
        <v>43</v>
      </c>
      <c r="B2" s="32">
        <v>17075</v>
      </c>
      <c r="C2" s="32">
        <v>149000</v>
      </c>
      <c r="D2" s="24">
        <f>C2/B2</f>
        <v>8.7262079062957536</v>
      </c>
      <c r="E2" s="24">
        <f>C2/C$13*100</f>
        <v>2.8155706727135299</v>
      </c>
      <c r="F2" s="24" t="str">
        <f>IF(C2&gt;1000000,"1 место ",IF(C2&gt;800000,"2 место ","остальные"))</f>
        <v>остальные</v>
      </c>
    </row>
    <row r="3" spans="1:6" ht="15.75" x14ac:dyDescent="0.25">
      <c r="A3" s="24" t="s">
        <v>44</v>
      </c>
      <c r="B3" s="32">
        <v>9363</v>
      </c>
      <c r="C3" s="32">
        <v>252000</v>
      </c>
      <c r="D3" s="24">
        <f t="shared" ref="D3:D12" si="0">C3/B3</f>
        <v>26.914450496635695</v>
      </c>
      <c r="E3" s="24">
        <f t="shared" ref="E3:E12" si="1">C3/C$13*100</f>
        <v>4.7619047619047619</v>
      </c>
      <c r="F3" s="24" t="str">
        <f t="shared" ref="F3:F12" si="2">IF(C3&gt;1000000,"1 место ",IF(C3&gt;800000,"2 место ","остальные"))</f>
        <v>остальные</v>
      </c>
    </row>
    <row r="4" spans="1:6" ht="15.75" x14ac:dyDescent="0.25">
      <c r="A4" s="24" t="s">
        <v>45</v>
      </c>
      <c r="B4" s="32">
        <v>9976</v>
      </c>
      <c r="C4" s="32">
        <v>27000</v>
      </c>
      <c r="D4" s="24">
        <f t="shared" si="0"/>
        <v>2.7064955894145952</v>
      </c>
      <c r="E4" s="24">
        <f t="shared" si="1"/>
        <v>0.51020408163265307</v>
      </c>
      <c r="F4" s="24" t="str">
        <f t="shared" si="2"/>
        <v>остальные</v>
      </c>
    </row>
    <row r="5" spans="1:6" ht="31.5" x14ac:dyDescent="0.25">
      <c r="A5" s="24" t="s">
        <v>46</v>
      </c>
      <c r="B5" s="33">
        <v>552</v>
      </c>
      <c r="C5" s="32">
        <v>56500</v>
      </c>
      <c r="D5" s="24">
        <f t="shared" si="0"/>
        <v>102.35507246376811</v>
      </c>
      <c r="E5" s="24">
        <f t="shared" si="1"/>
        <v>1.0676492819349963</v>
      </c>
      <c r="F5" s="24" t="str">
        <f t="shared" si="2"/>
        <v>остальные</v>
      </c>
    </row>
    <row r="6" spans="1:6" ht="15.75" x14ac:dyDescent="0.25">
      <c r="A6" s="24" t="s">
        <v>47</v>
      </c>
      <c r="B6" s="32">
        <v>9561</v>
      </c>
      <c r="C6" s="32">
        <v>1160000</v>
      </c>
      <c r="D6" s="24">
        <f t="shared" si="0"/>
        <v>121.32622110657881</v>
      </c>
      <c r="E6" s="24">
        <f t="shared" si="1"/>
        <v>21.919879062736207</v>
      </c>
      <c r="F6" s="24" t="str">
        <f t="shared" si="2"/>
        <v xml:space="preserve">1 место </v>
      </c>
    </row>
    <row r="7" spans="1:6" ht="15.75" x14ac:dyDescent="0.25">
      <c r="A7" s="24" t="s">
        <v>48</v>
      </c>
      <c r="B7" s="33">
        <v>372</v>
      </c>
      <c r="C7" s="32">
        <v>125000</v>
      </c>
      <c r="D7" s="24">
        <f t="shared" si="0"/>
        <v>336.02150537634407</v>
      </c>
      <c r="E7" s="24">
        <f t="shared" si="1"/>
        <v>2.362055933484505</v>
      </c>
      <c r="F7" s="24" t="str">
        <f t="shared" si="2"/>
        <v>остальные</v>
      </c>
    </row>
    <row r="8" spans="1:6" ht="15.75" x14ac:dyDescent="0.25">
      <c r="A8" s="24" t="s">
        <v>49</v>
      </c>
      <c r="B8" s="32">
        <v>3288</v>
      </c>
      <c r="C8" s="32">
        <v>850000</v>
      </c>
      <c r="D8" s="24">
        <f t="shared" si="0"/>
        <v>258.51581508515812</v>
      </c>
      <c r="E8" s="24">
        <f t="shared" si="1"/>
        <v>16.061980347694632</v>
      </c>
      <c r="F8" s="24" t="str">
        <f t="shared" si="2"/>
        <v xml:space="preserve">2 место </v>
      </c>
    </row>
    <row r="9" spans="1:6" ht="15.75" x14ac:dyDescent="0.25">
      <c r="A9" s="24" t="s">
        <v>50</v>
      </c>
      <c r="B9" s="33">
        <v>14</v>
      </c>
      <c r="C9" s="32">
        <v>4700</v>
      </c>
      <c r="D9" s="24">
        <f t="shared" si="0"/>
        <v>335.71428571428572</v>
      </c>
      <c r="E9" s="24">
        <f t="shared" si="1"/>
        <v>8.8813303099017374E-2</v>
      </c>
      <c r="F9" s="24" t="str">
        <f t="shared" si="2"/>
        <v>остальные</v>
      </c>
    </row>
    <row r="10" spans="1:6" ht="31.5" x14ac:dyDescent="0.25">
      <c r="A10" s="24" t="s">
        <v>51</v>
      </c>
      <c r="B10" s="32">
        <v>2767</v>
      </c>
      <c r="C10" s="32">
        <v>154000</v>
      </c>
      <c r="D10" s="24">
        <f t="shared" si="0"/>
        <v>55.655945066859417</v>
      </c>
      <c r="E10" s="24">
        <f t="shared" si="1"/>
        <v>2.9100529100529098</v>
      </c>
      <c r="F10" s="24" t="str">
        <f t="shared" si="2"/>
        <v>остальные</v>
      </c>
    </row>
    <row r="11" spans="1:6" ht="15.75" x14ac:dyDescent="0.25">
      <c r="A11" s="24" t="s">
        <v>52</v>
      </c>
      <c r="B11" s="32">
        <v>1002</v>
      </c>
      <c r="C11" s="32">
        <v>56000</v>
      </c>
      <c r="D11" s="24">
        <f t="shared" si="0"/>
        <v>55.88822355289421</v>
      </c>
      <c r="E11" s="24">
        <f t="shared" si="1"/>
        <v>1.0582010582010581</v>
      </c>
      <c r="F11" s="24" t="str">
        <f t="shared" si="2"/>
        <v>остальные</v>
      </c>
    </row>
    <row r="12" spans="1:6" ht="15.75" x14ac:dyDescent="0.25">
      <c r="A12" s="24" t="s">
        <v>53</v>
      </c>
      <c r="B12" s="33">
        <v>924</v>
      </c>
      <c r="C12" s="32">
        <v>115000</v>
      </c>
      <c r="D12" s="24">
        <f t="shared" si="0"/>
        <v>124.45887445887446</v>
      </c>
      <c r="E12" s="24">
        <f t="shared" si="1"/>
        <v>2.1730914588057444</v>
      </c>
      <c r="F12" s="24" t="str">
        <f t="shared" si="2"/>
        <v>остальные</v>
      </c>
    </row>
    <row r="13" spans="1:6" ht="31.5" x14ac:dyDescent="0.25">
      <c r="A13" s="24" t="s">
        <v>54</v>
      </c>
      <c r="B13" s="24"/>
      <c r="C13" s="32">
        <v>5292000</v>
      </c>
      <c r="D13" s="24"/>
      <c r="E13" s="24"/>
      <c r="F13" s="24"/>
    </row>
    <row r="15" spans="1:6" ht="31.5" x14ac:dyDescent="0.25">
      <c r="A15" s="25" t="s">
        <v>38</v>
      </c>
      <c r="B15" s="25" t="s">
        <v>39</v>
      </c>
    </row>
    <row r="16" spans="1:6" ht="15.75" x14ac:dyDescent="0.25">
      <c r="A16" s="24" t="s">
        <v>43</v>
      </c>
      <c r="B16" s="32">
        <v>17075</v>
      </c>
    </row>
    <row r="17" spans="1:2" ht="15.75" x14ac:dyDescent="0.25">
      <c r="A17" s="24" t="s">
        <v>44</v>
      </c>
      <c r="B17" s="32">
        <v>9363</v>
      </c>
    </row>
    <row r="18" spans="1:2" ht="15.75" x14ac:dyDescent="0.25">
      <c r="A18" s="24" t="s">
        <v>45</v>
      </c>
      <c r="B18" s="32">
        <v>9976</v>
      </c>
    </row>
    <row r="19" spans="1:2" ht="31.5" hidden="1" x14ac:dyDescent="0.25">
      <c r="A19" s="30" t="s">
        <v>46</v>
      </c>
      <c r="B19" s="31">
        <v>552</v>
      </c>
    </row>
    <row r="20" spans="1:2" ht="15.75" x14ac:dyDescent="0.25">
      <c r="A20" s="24" t="s">
        <v>47</v>
      </c>
      <c r="B20" s="32">
        <v>9561</v>
      </c>
    </row>
    <row r="21" spans="1:2" ht="16.5" hidden="1" thickBot="1" x14ac:dyDescent="0.3">
      <c r="A21" s="22" t="s">
        <v>48</v>
      </c>
      <c r="B21" s="29">
        <v>372</v>
      </c>
    </row>
    <row r="22" spans="1:2" ht="16.5" hidden="1" thickBot="1" x14ac:dyDescent="0.3">
      <c r="A22" s="22" t="s">
        <v>49</v>
      </c>
      <c r="B22" s="28">
        <v>3288</v>
      </c>
    </row>
    <row r="23" spans="1:2" ht="16.5" hidden="1" thickBot="1" x14ac:dyDescent="0.3">
      <c r="A23" s="22" t="s">
        <v>50</v>
      </c>
      <c r="B23" s="29">
        <v>14</v>
      </c>
    </row>
    <row r="24" spans="1:2" ht="32.25" hidden="1" thickBot="1" x14ac:dyDescent="0.3">
      <c r="A24" s="22" t="s">
        <v>51</v>
      </c>
      <c r="B24" s="28">
        <v>2767</v>
      </c>
    </row>
    <row r="25" spans="1:2" ht="16.5" hidden="1" thickBot="1" x14ac:dyDescent="0.3">
      <c r="A25" s="22" t="s">
        <v>52</v>
      </c>
      <c r="B25" s="28">
        <v>1002</v>
      </c>
    </row>
    <row r="26" spans="1:2" ht="16.5" hidden="1" thickBot="1" x14ac:dyDescent="0.3">
      <c r="A26" s="22" t="s">
        <v>53</v>
      </c>
      <c r="B26" s="29">
        <v>924</v>
      </c>
    </row>
    <row r="28" spans="1:2" ht="31.5" x14ac:dyDescent="0.25">
      <c r="A28" s="25" t="s">
        <v>38</v>
      </c>
      <c r="B28" s="25" t="s">
        <v>39</v>
      </c>
    </row>
    <row r="29" spans="1:2" ht="15.75" x14ac:dyDescent="0.25">
      <c r="A29" s="24" t="s">
        <v>43</v>
      </c>
      <c r="B29" s="32">
        <v>17075</v>
      </c>
    </row>
    <row r="30" spans="1:2" ht="15.75" x14ac:dyDescent="0.25">
      <c r="A30" s="24" t="s">
        <v>44</v>
      </c>
      <c r="B30" s="32">
        <v>9363</v>
      </c>
    </row>
    <row r="31" spans="1:2" ht="15.75" x14ac:dyDescent="0.25">
      <c r="A31" s="24" t="s">
        <v>45</v>
      </c>
      <c r="B31" s="32">
        <v>9976</v>
      </c>
    </row>
    <row r="32" spans="1:2" ht="31.5" x14ac:dyDescent="0.25">
      <c r="A32" s="30" t="s">
        <v>46</v>
      </c>
      <c r="B32" s="31">
        <v>552</v>
      </c>
    </row>
    <row r="33" spans="1:2" ht="15.75" x14ac:dyDescent="0.25">
      <c r="A33" s="24" t="s">
        <v>47</v>
      </c>
      <c r="B33" s="32">
        <v>9561</v>
      </c>
    </row>
    <row r="34" spans="1:2" ht="16.5" thickBot="1" x14ac:dyDescent="0.3">
      <c r="A34" s="22" t="s">
        <v>48</v>
      </c>
      <c r="B34" s="29">
        <v>372</v>
      </c>
    </row>
    <row r="35" spans="1:2" ht="16.5" thickBot="1" x14ac:dyDescent="0.3">
      <c r="A35" s="22" t="s">
        <v>49</v>
      </c>
      <c r="B35" s="28">
        <v>3288</v>
      </c>
    </row>
    <row r="36" spans="1:2" ht="16.5" thickBot="1" x14ac:dyDescent="0.3">
      <c r="A36" s="22" t="s">
        <v>50</v>
      </c>
      <c r="B36" s="29">
        <v>14</v>
      </c>
    </row>
    <row r="37" spans="1:2" ht="32.25" thickBot="1" x14ac:dyDescent="0.3">
      <c r="A37" s="22" t="s">
        <v>51</v>
      </c>
      <c r="B37" s="28">
        <v>2767</v>
      </c>
    </row>
    <row r="38" spans="1:2" ht="16.5" thickBot="1" x14ac:dyDescent="0.3">
      <c r="A38" s="22" t="s">
        <v>52</v>
      </c>
      <c r="B38" s="28">
        <v>1002</v>
      </c>
    </row>
    <row r="39" spans="1:2" ht="16.5" thickBot="1" x14ac:dyDescent="0.3">
      <c r="A39" s="22" t="s">
        <v>53</v>
      </c>
      <c r="B39" s="29">
        <v>924</v>
      </c>
    </row>
  </sheetData>
  <autoFilter ref="A15:B26" xr:uid="{793EDE02-2068-4132-BD5D-E068C30F2BDB}">
    <filterColumn colId="1">
      <customFilters>
        <customFilter operator="greaterThan" val="5000"/>
      </customFilters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Лист2</vt:lpstr>
      <vt:lpstr>Лист3</vt:lpstr>
      <vt:lpstr>Лист4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ффффф ииииии</dc:creator>
  <cp:lastModifiedBy>ффффф ииииии</cp:lastModifiedBy>
  <dcterms:created xsi:type="dcterms:W3CDTF">2025-02-17T20:35:00Z</dcterms:created>
  <dcterms:modified xsi:type="dcterms:W3CDTF">2025-02-17T21:53:07Z</dcterms:modified>
</cp:coreProperties>
</file>